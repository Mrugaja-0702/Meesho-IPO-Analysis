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Jio Institute\Finance Profile Development\Research Project\Meesho\"/>
    </mc:Choice>
  </mc:AlternateContent>
  <xr:revisionPtr revIDLastSave="0" documentId="13_ncr:1_{7E414ACB-3374-4920-8F6E-270263AB459E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Read Me" sheetId="1" r:id="rId1"/>
    <sheet name="Financials" sheetId="2" r:id="rId2"/>
    <sheet name="Ratios" sheetId="3" r:id="rId3"/>
    <sheet name="DCF" sheetId="4" r:id="rId4"/>
    <sheet name="Sensitivity" sheetId="5" r:id="rId5"/>
    <sheet name="Comp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6" l="1"/>
  <c r="H9" i="6"/>
  <c r="H8" i="6"/>
  <c r="H7" i="6"/>
  <c r="H6" i="6"/>
  <c r="H5" i="6"/>
  <c r="C24" i="4"/>
  <c r="L17" i="4"/>
  <c r="K17" i="4"/>
  <c r="J17" i="4"/>
  <c r="I17" i="4"/>
  <c r="H17" i="4"/>
  <c r="G17" i="4"/>
  <c r="F17" i="4"/>
  <c r="E17" i="4"/>
  <c r="D17" i="4"/>
  <c r="C17" i="4"/>
  <c r="C14" i="4"/>
  <c r="C16" i="4" s="1"/>
  <c r="B20" i="3"/>
  <c r="B19" i="3"/>
  <c r="D14" i="3"/>
  <c r="D13" i="3"/>
  <c r="C13" i="3"/>
  <c r="B13" i="3"/>
  <c r="D12" i="3"/>
  <c r="C12" i="3"/>
  <c r="E11" i="3"/>
  <c r="D11" i="3"/>
  <c r="C11" i="3"/>
  <c r="B11" i="3"/>
  <c r="E10" i="3"/>
  <c r="D10" i="3"/>
  <c r="C10" i="3"/>
  <c r="B10" i="3"/>
  <c r="E9" i="3"/>
  <c r="D9" i="3"/>
  <c r="E8" i="3"/>
  <c r="D8" i="3"/>
  <c r="C8" i="3"/>
  <c r="B8" i="3"/>
  <c r="E7" i="3"/>
  <c r="D7" i="3"/>
  <c r="B7" i="3"/>
  <c r="D6" i="3"/>
  <c r="E5" i="3"/>
  <c r="D5" i="3"/>
  <c r="C5" i="3"/>
  <c r="C18" i="4" l="1"/>
  <c r="D14" i="4"/>
  <c r="D16" i="4" l="1"/>
  <c r="D18" i="4" s="1"/>
  <c r="E14" i="4"/>
  <c r="E16" i="4" l="1"/>
  <c r="E18" i="4" s="1"/>
  <c r="F14" i="4"/>
  <c r="F16" i="4" l="1"/>
  <c r="F18" i="4" s="1"/>
  <c r="G14" i="4"/>
  <c r="G16" i="4" l="1"/>
  <c r="G18" i="4" s="1"/>
  <c r="H14" i="4"/>
  <c r="H16" i="4" l="1"/>
  <c r="H18" i="4" s="1"/>
  <c r="I14" i="4"/>
  <c r="J14" i="4" l="1"/>
  <c r="I16" i="4"/>
  <c r="I18" i="4" s="1"/>
  <c r="J16" i="4" l="1"/>
  <c r="J18" i="4" s="1"/>
  <c r="K14" i="4"/>
  <c r="K16" i="4" l="1"/>
  <c r="K18" i="4" s="1"/>
  <c r="L14" i="4"/>
  <c r="L16" i="4" s="1"/>
  <c r="L18" i="4" l="1"/>
  <c r="C20" i="4" s="1"/>
  <c r="C21" i="4"/>
  <c r="C22" i="4" s="1"/>
  <c r="C8" i="5"/>
  <c r="E6" i="5"/>
  <c r="B5" i="5"/>
  <c r="C9" i="5"/>
  <c r="E5" i="5"/>
  <c r="E9" i="5"/>
  <c r="E7" i="5"/>
  <c r="E8" i="5"/>
  <c r="B6" i="5"/>
  <c r="B7" i="5"/>
  <c r="D6" i="5"/>
  <c r="B9" i="5"/>
  <c r="D5" i="5"/>
  <c r="D8" i="5"/>
  <c r="F9" i="5"/>
  <c r="F5" i="5"/>
  <c r="F7" i="5"/>
  <c r="C5" i="5"/>
  <c r="C7" i="5"/>
  <c r="B8" i="5"/>
  <c r="D9" i="5"/>
  <c r="F6" i="5"/>
  <c r="F8" i="5"/>
  <c r="C6" i="5"/>
  <c r="D7" i="5"/>
  <c r="C23" i="4" l="1"/>
  <c r="C25" i="4" s="1"/>
  <c r="C2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200-000006000000}">
      <text>
        <r>
          <rPr>
            <sz val="10"/>
            <rFont val="Arial"/>
            <family val="2"/>
          </rPr>
          <t>H1 FY26 vs H1 FY25 revenue ₹4,311.3 cr (RHP)</t>
        </r>
      </text>
    </comment>
    <comment ref="D14" authorId="0" shapeId="0" xr:uid="{00000000-0006-0000-0200-000004000000}">
      <text>
        <r>
          <rPr>
            <sz val="10"/>
            <rFont val="Arial"/>
            <family val="2"/>
          </rPr>
          <t>FY25 revenue / FTEs (2,082)</t>
        </r>
      </text>
    </comment>
    <comment ref="D15" authorId="0" shapeId="0" xr:uid="{00000000-0006-0000-0200-000005000000}">
      <text>
        <r>
          <rPr>
            <sz val="10"/>
            <rFont val="Arial"/>
            <family val="2"/>
          </rPr>
          <t>Per RHP; ₹8.09 contribution per order FY25</t>
        </r>
      </text>
    </comment>
    <comment ref="B18" authorId="0" shapeId="0" xr:uid="{00000000-0006-0000-0200-000001000000}">
      <text>
        <r>
          <rPr>
            <sz val="10"/>
            <rFont val="Arial"/>
            <family val="2"/>
          </rPr>
          <t>Issue price ₹111 × 451.3 cr shares</t>
        </r>
      </text>
    </comment>
    <comment ref="B20" authorId="0" shapeId="0" xr:uid="{00000000-0006-0000-0200-000002000000}">
      <text>
        <r>
          <rPr>
            <sz val="10"/>
            <rFont val="Arial"/>
            <family val="2"/>
          </rPr>
          <t>Mcap (₹cr) / ATU (cr) → ₹ per user (crore units cancel)</t>
        </r>
      </text>
    </comment>
    <comment ref="B21" authorId="0" shapeId="0" xr:uid="{00000000-0006-0000-0200-000003000000}">
      <text>
        <r>
          <rPr>
            <sz val="10"/>
            <rFont val="Arial"/>
            <family val="2"/>
          </rPr>
          <t>Company is net debt-free per RHP</t>
        </r>
      </text>
    </comment>
  </commentList>
</comments>
</file>

<file path=xl/sharedStrings.xml><?xml version="1.0" encoding="utf-8"?>
<sst xmlns="http://schemas.openxmlformats.org/spreadsheetml/2006/main" count="203" uniqueCount="136">
  <si>
    <t>Companion to the IPO research report · all figures ₹ crore unless stated</t>
  </si>
  <si>
    <t>CONTENTS</t>
  </si>
  <si>
    <t>HOW TO USE</t>
  </si>
  <si>
    <t xml:space="preserve">   Change the blue assumption cells on the DCF sheet (revenue growth, FCF margin, WACC,</t>
  </si>
  <si>
    <t xml:space="preserve">   terminal growth, net cash). The DCF, per-share value and the Sensitivity grid update</t>
  </si>
  <si>
    <t xml:space="preserve">   automatically. The Ratios sheet recomputes from the Financials sheet.</t>
  </si>
  <si>
    <t>PRIMARY SOURCES</t>
  </si>
  <si>
    <t xml:space="preserve">   Meesho RHP/DRHP (SEBI); BSE/NSE; RBI MPC (Dec-2025); Choice Equity &amp; JM Financial notes;</t>
  </si>
  <si>
    <t xml:space="preserve">   Screener.in / exchange data for peer multiples (as of ~June 2026).</t>
  </si>
  <si>
    <t>Reconciled Financial Summary (₹ crore)</t>
  </si>
  <si>
    <t>Source: Meesho RHP/DRHP (SEBI); reconciled across filings. Blank = not separately disclosed.</t>
  </si>
  <si>
    <t>Particulars</t>
  </si>
  <si>
    <t>FY23</t>
  </si>
  <si>
    <t>FY24</t>
  </si>
  <si>
    <t>FY25</t>
  </si>
  <si>
    <t>H1 FY26</t>
  </si>
  <si>
    <t>Revenue from operations</t>
  </si>
  <si>
    <t>Total income (incl. other)</t>
  </si>
  <si>
    <t>Logistics &amp; fulfilment</t>
  </si>
  <si>
    <t>Advertising &amp; sales promotion</t>
  </si>
  <si>
    <t>Employee benefits</t>
  </si>
  <si>
    <t>Server &amp; software / cloud</t>
  </si>
  <si>
    <t>Total expenditure</t>
  </si>
  <si>
    <t>Reported net profit / (loss)</t>
  </si>
  <si>
    <t xml:space="preserve">  Exceptional: business-combination tax</t>
  </si>
  <si>
    <t xml:space="preserve">  Exceptional: reorg &amp; accelerated ESOP</t>
  </si>
  <si>
    <t>Operating profit / (loss) ex-exceptionals</t>
  </si>
  <si>
    <t>Free cash flow</t>
  </si>
  <si>
    <t>Net merchandise value (NMV)</t>
  </si>
  <si>
    <t>OPERATING METRICS</t>
  </si>
  <si>
    <t>Annual transacting users (crore)</t>
  </si>
  <si>
    <t>Annual transacting sellers ('000)</t>
  </si>
  <si>
    <t>Placed orders (crore)</t>
  </si>
  <si>
    <t>Order frequency (x)</t>
  </si>
  <si>
    <t>Average order value (₹)</t>
  </si>
  <si>
    <t>Contribution margin (% of NMV)</t>
  </si>
  <si>
    <t>Cash-on-delivery (% orders)</t>
  </si>
  <si>
    <t>Take rate (%)</t>
  </si>
  <si>
    <t>Full-time employees</t>
  </si>
  <si>
    <t>Financial Ratio Analysis</t>
  </si>
  <si>
    <t>Computed live from the Financials sheet. Green = cross-sheet link.</t>
  </si>
  <si>
    <t>Ratio</t>
  </si>
  <si>
    <t>Revenue growth (YoY)</t>
  </si>
  <si>
    <t>Revenue CAGR FY23–FY25</t>
  </si>
  <si>
    <t>Contribution margin (% NMV)</t>
  </si>
  <si>
    <t>Logistics cost / revenue</t>
  </si>
  <si>
    <t>Advertising / revenue</t>
  </si>
  <si>
    <t>Employee cost / revenue</t>
  </si>
  <si>
    <t>FCF margin</t>
  </si>
  <si>
    <t>Revenue per employee (₹ cr)</t>
  </si>
  <si>
    <t>Contribution per order (₹)</t>
  </si>
  <si>
    <t>VALUATION (at issue price ₹111)</t>
  </si>
  <si>
    <t>Market capitalisation (₹ cr)</t>
  </si>
  <si>
    <t>Price / Sales (FY25 revenue)</t>
  </si>
  <si>
    <t>Market cap / annual user (₹)</t>
  </si>
  <si>
    <t>Net debt / equity</t>
  </si>
  <si>
    <t>reverse-flip capital restructuring distort the denominator; discussed in report commentary.</t>
  </si>
  <si>
    <t>Discounted Cash Flow Valuation (illustrative)</t>
  </si>
  <si>
    <t>Editable assumptions in blue/yellow. FCFF is independent of WACC &amp; g, which drives the live Sensitivity grid.</t>
  </si>
  <si>
    <t>Base revenue FY25 (₹ cr)</t>
  </si>
  <si>
    <t>WACC</t>
  </si>
  <si>
    <t>Terminal growth (g)</t>
  </si>
  <si>
    <t>Net cash (₹ cr)</t>
  </si>
  <si>
    <t>Shares outstanding (crore)</t>
  </si>
  <si>
    <t>Projection year</t>
  </si>
  <si>
    <t>FY26E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</si>
  <si>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</si>
  <si>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</si>
  <si>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</si>
  <si>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</si>
  <si>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</si>
  <si>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</si>
  <si>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</si>
  <si>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</si>
  <si>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FY35E</t>
  </si>
  <si>
    <t>Period (t)</t>
  </si>
  <si>
    <t>Revenue growth</t>
  </si>
  <si>
    <t>Revenue (₹ cr)</t>
  </si>
  <si>
    <t>FCFF (₹ cr)</t>
  </si>
  <si>
    <t>Discount factor</t>
  </si>
  <si>
    <t>PV of FCFF (₹ cr)</t>
  </si>
  <si>
    <t>Sum of PV of explicit FCFF</t>
  </si>
  <si>
    <t>Terminal value (FY35E)</t>
  </si>
  <si>
    <t>PV of terminal value</t>
  </si>
  <si>
    <t>Enterprise value</t>
  </si>
  <si>
    <t>(+) Net cash</t>
  </si>
  <si>
    <t>Equity value</t>
  </si>
  <si>
    <t>Fair value per share (₹)</t>
  </si>
  <si>
    <t>Reference points:  issue price ₹111  ·  current market ₹192 (30-Jun-26)  ·  Choice Equity DCF ₹160–185</t>
  </si>
  <si>
    <t>Live grid: each cell re-runs the DCF at that WACC × terminal-growth. Base case boxed in report.</t>
  </si>
  <si>
    <t>WACC \ g</t>
  </si>
  <si>
    <t>Base case: WACC 13%, g 5% (highlighted). Green→ cheaper vs price; red→ demanding.</t>
  </si>
  <si>
    <t>Listed Peer Comparison</t>
  </si>
  <si>
    <t>Market data indicative, ~June 2026; revenue years differ by company (labelled). For context, not strict like-for-like.</t>
  </si>
  <si>
    <t>Company</t>
  </si>
  <si>
    <t>Model</t>
  </si>
  <si>
    <t>Revenue (₹cr)</t>
  </si>
  <si>
    <t>Rev yr</t>
  </si>
  <si>
    <t>Net profit</t>
  </si>
  <si>
    <t>Profitable?</t>
  </si>
  <si>
    <t>Mkt cap (₹cr)</t>
  </si>
  <si>
    <t>P/S (x)</t>
  </si>
  <si>
    <t>Meesho</t>
  </si>
  <si>
    <t>Value marketplace</t>
  </si>
  <si>
    <t>(108) adj</t>
  </si>
  <si>
    <t>Near-BE</t>
  </si>
  <si>
    <t>Eternal (Zomato)</t>
  </si>
  <si>
    <t>Food + q-comm</t>
  </si>
  <si>
    <t>Profit</t>
  </si>
  <si>
    <t>Yes</t>
  </si>
  <si>
    <t>Swiggy</t>
  </si>
  <si>
    <t>Loss</t>
  </si>
  <si>
    <t>No</t>
  </si>
  <si>
    <t>Nykaa (FSN)</t>
  </si>
  <si>
    <t>Beauty/fashion</t>
  </si>
  <si>
    <t>FY26</t>
  </si>
  <si>
    <t>204</t>
  </si>
  <si>
    <t>FirstCry (Brainbees)</t>
  </si>
  <si>
    <t>Kids &amp; baby</t>
  </si>
  <si>
    <t>Thin</t>
  </si>
  <si>
    <t>Marginal</t>
  </si>
  <si>
    <t>Avenue Supermarts (DMart)</t>
  </si>
  <si>
    <t>Value retail</t>
  </si>
  <si>
    <t>Sources: Screener.in, exchange data, company filings (~Jun-2026). Swiggy/Eternal revenue are estimates.</t>
  </si>
  <si>
    <t xml:space="preserve"> Independent academic exercise for educational purposes. Not investment advice. Figures are  drawn from public filings and cited secondary sources and may contain estimation error;   verify against the RHP before any decision. Valuation is illustrative.</t>
  </si>
  <si>
    <t xml:space="preserve">   • Financials - reconciled income statement &amp; cost structure, FY23–H1 FY26</t>
  </si>
  <si>
    <t xml:space="preserve">   • Ratios - growth, margin, efficiency, per-unit and valuation ratios (live formulas)</t>
  </si>
  <si>
    <t xml:space="preserve">   • DCF - 10-year discounted-cash-flow valuation with editable assumptions</t>
  </si>
  <si>
    <t xml:space="preserve">   • Sensitivity - fair value per share across WACC × terminal-growth (live 2-way grid)</t>
  </si>
  <si>
    <t xml:space="preserve">   • Comps  - listed peer comparison (market data)</t>
  </si>
  <si>
    <t>Meesho Limited - Financial Model &amp; Valuation Workbook</t>
  </si>
  <si>
    <t>-</t>
  </si>
  <si>
    <t>Net margin - reported</t>
  </si>
  <si>
    <t>Net margin - ex-exceptionals</t>
  </si>
  <si>
    <t>Note: Return ratios (ROE/ROCE) are not meaningful for FY25 - losses and the one-time</t>
  </si>
  <si>
    <t>DCF Sensitivity - fair value per share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</si>
</sst>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;\(#,##0.0\);\-"/>
    <numFmt numFmtId="165" formatCode="0.0%;\(0.0%\);\-"/>
    <numFmt numFmtId="166" formatCode="#,##0;\(#,##0\);\-"/>
    <numFmt numFmtId="167" formatCode="0.0\x"/>
    <numFmt numFmtId="168" formatCode="0.000"/>
    <numFmt numFmtId="169" formatCode="\₹#,##0;&quot;(₹&quot;#,##0\)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5"/>
      <color rgb="FF1E293B"/>
      <name val="Times New Roman"/>
      <family val="1"/>
    </font>
    <font>
      <sz val="11"/>
      <color theme="1"/>
      <name val="Times New Roman"/>
      <family val="1"/>
    </font>
    <font>
      <i/>
      <sz val="10"/>
      <color rgb="FF475569"/>
      <name val="Times New Roman"/>
      <family val="1"/>
    </font>
    <font>
      <b/>
      <sz val="10"/>
      <color rgb="FF1E293B"/>
      <name val="Times New Roman"/>
      <family val="1"/>
    </font>
    <font>
      <sz val="10"/>
      <color rgb="FF000000"/>
      <name val="Times New Roman"/>
      <family val="1"/>
    </font>
    <font>
      <b/>
      <sz val="11"/>
      <color rgb="FFFFFFFF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1E293B"/>
        <bgColor rgb="FF24303F"/>
      </patternFill>
    </fill>
    <fill>
      <patternFill patternType="solid">
        <fgColor rgb="FFF1F5F9"/>
        <bgColor rgb="FFFFFFFF"/>
      </patternFill>
    </fill>
    <fill>
      <patternFill patternType="solid">
        <fgColor theme="0"/>
        <bgColor rgb="FF24303F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rgb="FFFF00FF"/>
      </patternFill>
    </fill>
    <fill>
      <patternFill patternType="solid">
        <fgColor theme="4" tint="0.79998168889431442"/>
        <bgColor rgb="FFF1F5F9"/>
      </patternFill>
    </fill>
    <fill>
      <patternFill patternType="solid">
        <fgColor theme="4" tint="0.39997558519241921"/>
        <bgColor rgb="FFF1F5F9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6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0" fontId="6" fillId="0" borderId="1" xfId="0" applyFont="1" applyBorder="1"/>
    <xf numFmtId="164" fontId="5" fillId="0" borderId="1" xfId="0" applyNumberFormat="1" applyFont="1" applyBorder="1" applyAlignment="1">
      <alignment horizontal="right"/>
    </xf>
    <xf numFmtId="0" fontId="4" fillId="3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0" fontId="7" fillId="4" borderId="1" xfId="0" applyFont="1" applyFill="1" applyBorder="1" applyAlignment="1">
      <alignment horizontal="center" vertical="center" wrapText="1"/>
    </xf>
    <xf numFmtId="0" fontId="3" fillId="5" borderId="0" xfId="0" applyFont="1" applyFill="1"/>
    <xf numFmtId="0" fontId="4" fillId="5" borderId="0" xfId="0" applyFont="1" applyFill="1" applyAlignment="1">
      <alignment horizontal="left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164" fontId="5" fillId="5" borderId="1" xfId="0" applyNumberFormat="1" applyFont="1" applyFill="1" applyBorder="1" applyAlignment="1">
      <alignment horizontal="right"/>
    </xf>
    <xf numFmtId="0" fontId="6" fillId="5" borderId="0" xfId="0" applyFont="1" applyFill="1"/>
    <xf numFmtId="166" fontId="5" fillId="5" borderId="1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0" fontId="4" fillId="5" borderId="0" xfId="0" applyFont="1" applyFill="1"/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1" xfId="0" applyFont="1" applyBorder="1"/>
    <xf numFmtId="166" fontId="12" fillId="0" borderId="1" xfId="0" applyNumberFormat="1" applyFont="1" applyBorder="1" applyAlignment="1">
      <alignment horizontal="right"/>
    </xf>
    <xf numFmtId="0" fontId="10" fillId="0" borderId="0" xfId="0" applyFont="1"/>
    <xf numFmtId="169" fontId="13" fillId="6" borderId="1" xfId="0" applyNumberFormat="1" applyFont="1" applyFill="1" applyBorder="1" applyAlignment="1">
      <alignment horizontal="right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165" fontId="5" fillId="7" borderId="1" xfId="0" applyNumberFormat="1" applyFont="1" applyFill="1" applyBorder="1" applyAlignment="1">
      <alignment horizontal="right"/>
    </xf>
    <xf numFmtId="166" fontId="5" fillId="7" borderId="1" xfId="0" applyNumberFormat="1" applyFont="1" applyFill="1" applyBorder="1" applyAlignment="1">
      <alignment horizontal="right"/>
    </xf>
    <xf numFmtId="165" fontId="5" fillId="7" borderId="0" xfId="0" applyNumberFormat="1" applyFont="1" applyFill="1" applyAlignment="1">
      <alignment horizontal="right"/>
    </xf>
    <xf numFmtId="0" fontId="13" fillId="2" borderId="1" xfId="0" applyFont="1" applyFill="1" applyBorder="1" applyAlignment="1">
      <alignment horizontal="center" vertical="center" wrapText="1"/>
    </xf>
    <xf numFmtId="165" fontId="13" fillId="2" borderId="1" xfId="0" applyNumberFormat="1" applyFont="1" applyFill="1" applyBorder="1" applyAlignment="1">
      <alignment horizontal="center" vertical="center" wrapText="1"/>
    </xf>
    <xf numFmtId="169" fontId="12" fillId="0" borderId="1" xfId="0" applyNumberFormat="1" applyFont="1" applyBorder="1" applyAlignment="1">
      <alignment horizontal="right"/>
    </xf>
    <xf numFmtId="169" fontId="11" fillId="7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7" fontId="5" fillId="0" borderId="1" xfId="0" applyNumberFormat="1" applyFont="1" applyBorder="1" applyAlignment="1">
      <alignment horizontal="right"/>
    </xf>
    <xf numFmtId="0" fontId="6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166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167" fontId="5" fillId="3" borderId="1" xfId="0" applyNumberFormat="1" applyFont="1" applyFill="1" applyBorder="1" applyAlignment="1">
      <alignment horizontal="right"/>
    </xf>
    <xf numFmtId="0" fontId="6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166" fontId="5" fillId="8" borderId="1" xfId="0" applyNumberFormat="1" applyFont="1" applyFill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167" fontId="5" fillId="8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9" borderId="3" xfId="0" applyFont="1" applyFill="1" applyBorder="1" applyAlignment="1">
      <alignment horizontal="left" wrapText="1"/>
    </xf>
    <xf numFmtId="0" fontId="5" fillId="9" borderId="4" xfId="0" applyFont="1" applyFill="1" applyBorder="1" applyAlignment="1">
      <alignment horizontal="left" wrapText="1"/>
    </xf>
    <xf numFmtId="0" fontId="5" fillId="9" borderId="5" xfId="0" applyFont="1" applyFill="1" applyBorder="1" applyAlignment="1">
      <alignment horizontal="left" wrapText="1"/>
    </xf>
    <xf numFmtId="0" fontId="5" fillId="0" borderId="6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006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F1F5F9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1E293B"/>
      <rgbColor rgb="FF339966"/>
      <rgbColor rgb="FF003300"/>
      <rgbColor rgb="FF333300"/>
      <rgbColor rgb="FF993300"/>
      <rgbColor rgb="FF993366"/>
      <rgbColor rgb="FF333399"/>
      <rgbColor rgb="FF2430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5"/>
  <sheetViews>
    <sheetView zoomScaleNormal="100" workbookViewId="0">
      <selection activeCell="B3" sqref="B3"/>
    </sheetView>
  </sheetViews>
  <sheetFormatPr defaultColWidth="8.6640625" defaultRowHeight="13.8" x14ac:dyDescent="0.25"/>
  <cols>
    <col min="1" max="1" width="2" style="2" customWidth="1"/>
    <col min="2" max="2" width="92" style="2" customWidth="1"/>
    <col min="3" max="16384" width="8.6640625" style="2"/>
  </cols>
  <sheetData>
    <row r="2" spans="2:2" ht="18.600000000000001" x14ac:dyDescent="0.3">
      <c r="B2" s="1" t="s">
        <v>130</v>
      </c>
    </row>
    <row r="3" spans="2:2" x14ac:dyDescent="0.25">
      <c r="B3" s="3" t="s">
        <v>0</v>
      </c>
    </row>
    <row r="5" spans="2:2" ht="14.4" thickBot="1" x14ac:dyDescent="0.3">
      <c r="B5" s="4"/>
    </row>
    <row r="6" spans="2:2" ht="14.4" thickBot="1" x14ac:dyDescent="0.3">
      <c r="B6" s="68" t="s">
        <v>1</v>
      </c>
    </row>
    <row r="7" spans="2:2" x14ac:dyDescent="0.25">
      <c r="B7" s="67" t="s">
        <v>125</v>
      </c>
    </row>
    <row r="8" spans="2:2" x14ac:dyDescent="0.25">
      <c r="B8" s="62" t="s">
        <v>126</v>
      </c>
    </row>
    <row r="9" spans="2:2" x14ac:dyDescent="0.25">
      <c r="B9" s="62" t="s">
        <v>127</v>
      </c>
    </row>
    <row r="10" spans="2:2" x14ac:dyDescent="0.25">
      <c r="B10" s="62" t="s">
        <v>128</v>
      </c>
    </row>
    <row r="11" spans="2:2" ht="14.4" thickBot="1" x14ac:dyDescent="0.3">
      <c r="B11" s="63" t="s">
        <v>129</v>
      </c>
    </row>
    <row r="12" spans="2:2" ht="14.4" thickBot="1" x14ac:dyDescent="0.3">
      <c r="B12" s="4"/>
    </row>
    <row r="13" spans="2:2" ht="14.4" thickBot="1" x14ac:dyDescent="0.3">
      <c r="B13" s="68" t="s">
        <v>2</v>
      </c>
    </row>
    <row r="14" spans="2:2" x14ac:dyDescent="0.25">
      <c r="B14" s="67" t="s">
        <v>3</v>
      </c>
    </row>
    <row r="15" spans="2:2" x14ac:dyDescent="0.25">
      <c r="B15" s="62" t="s">
        <v>4</v>
      </c>
    </row>
    <row r="16" spans="2:2" ht="14.4" thickBot="1" x14ac:dyDescent="0.3">
      <c r="B16" s="63" t="s">
        <v>5</v>
      </c>
    </row>
    <row r="17" spans="2:2" ht="14.4" thickBot="1" x14ac:dyDescent="0.3">
      <c r="B17" s="4"/>
    </row>
    <row r="18" spans="2:2" ht="14.4" thickBot="1" x14ac:dyDescent="0.3">
      <c r="B18" s="68" t="s">
        <v>6</v>
      </c>
    </row>
    <row r="19" spans="2:2" x14ac:dyDescent="0.25">
      <c r="B19" s="67" t="s">
        <v>7</v>
      </c>
    </row>
    <row r="20" spans="2:2" ht="14.4" thickBot="1" x14ac:dyDescent="0.3">
      <c r="B20" s="63" t="s">
        <v>8</v>
      </c>
    </row>
    <row r="21" spans="2:2" x14ac:dyDescent="0.25">
      <c r="B21" s="4"/>
    </row>
    <row r="22" spans="2:2" ht="14.4" thickBot="1" x14ac:dyDescent="0.3">
      <c r="B22" s="5"/>
    </row>
    <row r="23" spans="2:2" x14ac:dyDescent="0.25">
      <c r="B23" s="64" t="s">
        <v>124</v>
      </c>
    </row>
    <row r="24" spans="2:2" x14ac:dyDescent="0.25">
      <c r="B24" s="65"/>
    </row>
    <row r="25" spans="2:2" ht="14.4" thickBot="1" x14ac:dyDescent="0.3">
      <c r="B25" s="66"/>
    </row>
  </sheetData>
  <mergeCells count="1">
    <mergeCell ref="B23:B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topLeftCell="A3" zoomScaleNormal="100" workbookViewId="0">
      <selection activeCell="O1" sqref="O1"/>
    </sheetView>
  </sheetViews>
  <sheetFormatPr defaultColWidth="8.6640625" defaultRowHeight="13.8" x14ac:dyDescent="0.25"/>
  <cols>
    <col min="1" max="1" width="34" style="2" customWidth="1"/>
    <col min="2" max="5" width="13" style="2" customWidth="1"/>
    <col min="6" max="16384" width="8.6640625" style="2"/>
  </cols>
  <sheetData>
    <row r="1" spans="1:5" ht="18.600000000000001" x14ac:dyDescent="0.3">
      <c r="A1" s="59" t="s">
        <v>9</v>
      </c>
      <c r="B1" s="59"/>
      <c r="C1" s="59"/>
      <c r="D1" s="59"/>
      <c r="E1" s="59"/>
    </row>
    <row r="2" spans="1:5" x14ac:dyDescent="0.25">
      <c r="A2" s="6" t="s">
        <v>10</v>
      </c>
    </row>
    <row r="4" spans="1:5" s="18" customFormat="1" x14ac:dyDescent="0.25">
      <c r="A4" s="17" t="s">
        <v>11</v>
      </c>
      <c r="B4" s="17" t="s">
        <v>12</v>
      </c>
      <c r="C4" s="17" t="s">
        <v>13</v>
      </c>
      <c r="D4" s="17" t="s">
        <v>14</v>
      </c>
      <c r="E4" s="17" t="s">
        <v>15</v>
      </c>
    </row>
    <row r="5" spans="1:5" x14ac:dyDescent="0.25">
      <c r="A5" s="7" t="s">
        <v>16</v>
      </c>
      <c r="B5" s="8">
        <v>5734.5</v>
      </c>
      <c r="C5" s="8">
        <v>7615.1</v>
      </c>
      <c r="D5" s="8">
        <v>9389.9</v>
      </c>
      <c r="E5" s="8">
        <v>5577.5</v>
      </c>
    </row>
    <row r="6" spans="1:5" x14ac:dyDescent="0.25">
      <c r="A6" s="9" t="s">
        <v>17</v>
      </c>
      <c r="B6" s="10" t="s">
        <v>131</v>
      </c>
      <c r="C6" s="10" t="s">
        <v>131</v>
      </c>
      <c r="D6" s="10">
        <v>9900.9</v>
      </c>
      <c r="E6" s="10" t="s">
        <v>131</v>
      </c>
    </row>
    <row r="7" spans="1:5" x14ac:dyDescent="0.25">
      <c r="A7" s="7" t="s">
        <v>18</v>
      </c>
      <c r="B7" s="8">
        <v>4817</v>
      </c>
      <c r="C7" s="8">
        <v>5926.8</v>
      </c>
      <c r="D7" s="8">
        <v>7352</v>
      </c>
      <c r="E7" s="8">
        <v>4429</v>
      </c>
    </row>
    <row r="8" spans="1:5" x14ac:dyDescent="0.25">
      <c r="A8" s="9" t="s">
        <v>19</v>
      </c>
      <c r="B8" s="10">
        <v>928</v>
      </c>
      <c r="C8" s="10">
        <v>459.4</v>
      </c>
      <c r="D8" s="10">
        <v>643.5</v>
      </c>
      <c r="E8" s="10">
        <v>606</v>
      </c>
    </row>
    <row r="9" spans="1:5" x14ac:dyDescent="0.25">
      <c r="A9" s="7" t="s">
        <v>20</v>
      </c>
      <c r="B9" s="8" t="s">
        <v>131</v>
      </c>
      <c r="C9" s="8">
        <v>757.7</v>
      </c>
      <c r="D9" s="8">
        <v>848.1</v>
      </c>
      <c r="E9" s="8" t="s">
        <v>131</v>
      </c>
    </row>
    <row r="10" spans="1:5" x14ac:dyDescent="0.25">
      <c r="A10" s="9" t="s">
        <v>21</v>
      </c>
      <c r="B10" s="10">
        <v>567</v>
      </c>
      <c r="C10" s="10" t="s">
        <v>131</v>
      </c>
      <c r="D10" s="10">
        <v>620</v>
      </c>
      <c r="E10" s="10">
        <v>437</v>
      </c>
    </row>
    <row r="11" spans="1:5" x14ac:dyDescent="0.25">
      <c r="A11" s="7" t="s">
        <v>22</v>
      </c>
      <c r="B11" s="8" t="s">
        <v>131</v>
      </c>
      <c r="C11" s="8">
        <v>8173.7</v>
      </c>
      <c r="D11" s="8">
        <v>10009.299999999999</v>
      </c>
      <c r="E11" s="8" t="s">
        <v>131</v>
      </c>
    </row>
    <row r="12" spans="1:5" x14ac:dyDescent="0.25">
      <c r="A12" s="9" t="s">
        <v>23</v>
      </c>
      <c r="B12" s="10">
        <v>-1671.9</v>
      </c>
      <c r="C12" s="10">
        <v>-327.60000000000002</v>
      </c>
      <c r="D12" s="10">
        <v>-3941.7</v>
      </c>
      <c r="E12" s="10">
        <v>-700.7</v>
      </c>
    </row>
    <row r="13" spans="1:5" x14ac:dyDescent="0.25">
      <c r="A13" s="11" t="s">
        <v>24</v>
      </c>
      <c r="B13" s="8" t="s">
        <v>131</v>
      </c>
      <c r="C13" s="8" t="s">
        <v>131</v>
      </c>
      <c r="D13" s="8">
        <v>2487.3000000000002</v>
      </c>
      <c r="E13" s="8" t="s">
        <v>131</v>
      </c>
    </row>
    <row r="14" spans="1:5" x14ac:dyDescent="0.25">
      <c r="A14" s="12" t="s">
        <v>25</v>
      </c>
      <c r="B14" s="10" t="s">
        <v>131</v>
      </c>
      <c r="C14" s="10" t="s">
        <v>131</v>
      </c>
      <c r="D14" s="10">
        <v>1346</v>
      </c>
      <c r="E14" s="10" t="s">
        <v>131</v>
      </c>
    </row>
    <row r="15" spans="1:5" x14ac:dyDescent="0.25">
      <c r="A15" s="7" t="s">
        <v>26</v>
      </c>
      <c r="B15" s="8" t="s">
        <v>131</v>
      </c>
      <c r="C15" s="8" t="s">
        <v>131</v>
      </c>
      <c r="D15" s="8">
        <v>-108.4</v>
      </c>
      <c r="E15" s="8">
        <v>-433</v>
      </c>
    </row>
    <row r="16" spans="1:5" x14ac:dyDescent="0.25">
      <c r="A16" s="9" t="s">
        <v>27</v>
      </c>
      <c r="B16" s="10">
        <v>-2336</v>
      </c>
      <c r="C16" s="10">
        <v>304</v>
      </c>
      <c r="D16" s="10">
        <v>351</v>
      </c>
      <c r="E16" s="10" t="s">
        <v>131</v>
      </c>
    </row>
    <row r="17" spans="1:5" x14ac:dyDescent="0.25">
      <c r="A17" s="7" t="s">
        <v>28</v>
      </c>
      <c r="B17" s="8" t="s">
        <v>131</v>
      </c>
      <c r="C17" s="8" t="s">
        <v>131</v>
      </c>
      <c r="D17" s="8" t="s">
        <v>131</v>
      </c>
      <c r="E17" s="8">
        <v>19194</v>
      </c>
    </row>
    <row r="19" spans="1:5" x14ac:dyDescent="0.25">
      <c r="A19" s="5" t="s">
        <v>29</v>
      </c>
    </row>
    <row r="20" spans="1:5" x14ac:dyDescent="0.25">
      <c r="A20" s="13" t="s">
        <v>30</v>
      </c>
      <c r="B20" s="10">
        <v>13.64</v>
      </c>
      <c r="C20" s="14" t="s">
        <v>131</v>
      </c>
      <c r="D20" s="10">
        <v>19.88</v>
      </c>
      <c r="E20" s="10">
        <v>23.42</v>
      </c>
    </row>
    <row r="21" spans="1:5" x14ac:dyDescent="0.25">
      <c r="A21" s="13" t="s">
        <v>31</v>
      </c>
      <c r="B21" s="14" t="s">
        <v>131</v>
      </c>
      <c r="C21" s="14" t="s">
        <v>131</v>
      </c>
      <c r="D21" s="14" t="s">
        <v>131</v>
      </c>
      <c r="E21" s="10">
        <v>706.5</v>
      </c>
    </row>
    <row r="22" spans="1:5" x14ac:dyDescent="0.25">
      <c r="A22" s="13" t="s">
        <v>32</v>
      </c>
      <c r="B22" s="14" t="s">
        <v>131</v>
      </c>
      <c r="C22" s="14" t="s">
        <v>131</v>
      </c>
      <c r="D22" s="10">
        <v>183</v>
      </c>
      <c r="E22" s="10">
        <v>126.1</v>
      </c>
    </row>
    <row r="23" spans="1:5" x14ac:dyDescent="0.25">
      <c r="A23" s="13" t="s">
        <v>33</v>
      </c>
      <c r="B23" s="10">
        <v>7.5</v>
      </c>
      <c r="C23" s="14" t="s">
        <v>131</v>
      </c>
      <c r="D23" s="14" t="s">
        <v>131</v>
      </c>
      <c r="E23" s="10">
        <v>9.6999999999999993</v>
      </c>
    </row>
    <row r="24" spans="1:5" x14ac:dyDescent="0.25">
      <c r="A24" s="13" t="s">
        <v>34</v>
      </c>
      <c r="B24" s="14" t="s">
        <v>131</v>
      </c>
      <c r="C24" s="14" t="s">
        <v>131</v>
      </c>
      <c r="D24" s="14" t="s">
        <v>131</v>
      </c>
      <c r="E24" s="10">
        <v>265.5</v>
      </c>
    </row>
    <row r="25" spans="1:5" x14ac:dyDescent="0.25">
      <c r="A25" s="13" t="s">
        <v>35</v>
      </c>
      <c r="B25" s="15">
        <v>2.9399999999999999E-2</v>
      </c>
      <c r="C25" s="14" t="s">
        <v>131</v>
      </c>
      <c r="D25" s="15">
        <v>4.9500000000000002E-2</v>
      </c>
      <c r="E25" s="15">
        <v>3.8199999999999998E-2</v>
      </c>
    </row>
    <row r="26" spans="1:5" x14ac:dyDescent="0.25">
      <c r="A26" s="13" t="s">
        <v>36</v>
      </c>
      <c r="B26" s="15">
        <v>0.8871</v>
      </c>
      <c r="C26" s="15">
        <v>0.85389999999999999</v>
      </c>
      <c r="D26" s="15">
        <v>0.76949999999999996</v>
      </c>
      <c r="E26" s="15">
        <v>0.72</v>
      </c>
    </row>
    <row r="27" spans="1:5" x14ac:dyDescent="0.25">
      <c r="A27" s="13" t="s">
        <v>37</v>
      </c>
      <c r="B27" s="14" t="s">
        <v>131</v>
      </c>
      <c r="C27" s="14" t="s">
        <v>131</v>
      </c>
      <c r="D27" s="15">
        <v>0.30499999999999999</v>
      </c>
      <c r="E27" s="14" t="s">
        <v>131</v>
      </c>
    </row>
    <row r="28" spans="1:5" x14ac:dyDescent="0.25">
      <c r="A28" s="13" t="s">
        <v>38</v>
      </c>
      <c r="B28" s="14" t="s">
        <v>131</v>
      </c>
      <c r="C28" s="14" t="s">
        <v>131</v>
      </c>
      <c r="D28" s="14" t="s">
        <v>131</v>
      </c>
      <c r="E28" s="16">
        <v>2082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Normal="100" workbookViewId="0">
      <selection sqref="A1:E1"/>
    </sheetView>
  </sheetViews>
  <sheetFormatPr defaultColWidth="8.6640625" defaultRowHeight="13.8" x14ac:dyDescent="0.25"/>
  <cols>
    <col min="1" max="1" width="36" style="18" customWidth="1"/>
    <col min="2" max="5" width="13" style="18" customWidth="1"/>
    <col min="6" max="16384" width="8.6640625" style="18"/>
  </cols>
  <sheetData>
    <row r="1" spans="1:5" ht="18.600000000000001" x14ac:dyDescent="0.3">
      <c r="A1" s="61" t="s">
        <v>39</v>
      </c>
      <c r="B1" s="61"/>
      <c r="C1" s="61"/>
      <c r="D1" s="61"/>
      <c r="E1" s="61"/>
    </row>
    <row r="2" spans="1:5" x14ac:dyDescent="0.25">
      <c r="A2" s="19" t="s">
        <v>40</v>
      </c>
    </row>
    <row r="4" spans="1:5" x14ac:dyDescent="0.25">
      <c r="A4" s="17" t="s">
        <v>41</v>
      </c>
      <c r="B4" s="17" t="s">
        <v>12</v>
      </c>
      <c r="C4" s="17" t="s">
        <v>13</v>
      </c>
      <c r="D4" s="17" t="s">
        <v>14</v>
      </c>
      <c r="E4" s="17" t="s">
        <v>15</v>
      </c>
    </row>
    <row r="5" spans="1:5" x14ac:dyDescent="0.25">
      <c r="A5" s="20" t="s">
        <v>42</v>
      </c>
      <c r="B5" s="21" t="s">
        <v>131</v>
      </c>
      <c r="C5" s="22">
        <f>Financials!C5/Financials!B5-1</f>
        <v>0.32794489493417034</v>
      </c>
      <c r="D5" s="22">
        <f>Financials!D5/Financials!C5-1</f>
        <v>0.23306325589946275</v>
      </c>
      <c r="E5" s="22">
        <f>Financials!E5/4311.3-1</f>
        <v>0.2936933175608285</v>
      </c>
    </row>
    <row r="6" spans="1:5" x14ac:dyDescent="0.25">
      <c r="A6" s="20" t="s">
        <v>43</v>
      </c>
      <c r="B6" s="21" t="s">
        <v>131</v>
      </c>
      <c r="C6" s="21" t="s">
        <v>131</v>
      </c>
      <c r="D6" s="22">
        <f>(Financials!D5/Financials!B5)^(1/2)-1</f>
        <v>0.27962496685653893</v>
      </c>
      <c r="E6" s="21" t="s">
        <v>131</v>
      </c>
    </row>
    <row r="7" spans="1:5" x14ac:dyDescent="0.25">
      <c r="A7" s="20" t="s">
        <v>44</v>
      </c>
      <c r="B7" s="22">
        <f>Financials!B25</f>
        <v>2.9399999999999999E-2</v>
      </c>
      <c r="C7" s="21" t="s">
        <v>131</v>
      </c>
      <c r="D7" s="22">
        <f>Financials!D25</f>
        <v>4.9500000000000002E-2</v>
      </c>
      <c r="E7" s="22">
        <f>Financials!E25</f>
        <v>3.8199999999999998E-2</v>
      </c>
    </row>
    <row r="8" spans="1:5" x14ac:dyDescent="0.25">
      <c r="A8" s="20" t="s">
        <v>132</v>
      </c>
      <c r="B8" s="22">
        <f>Financials!B12/Financials!B5</f>
        <v>-0.29155113784985615</v>
      </c>
      <c r="C8" s="22">
        <f>Financials!C12/Financials!C5</f>
        <v>-4.3019789628501268E-2</v>
      </c>
      <c r="D8" s="22">
        <f>Financials!D12/Financials!D5</f>
        <v>-0.41978082833683</v>
      </c>
      <c r="E8" s="22">
        <f>Financials!E12/Financials!E5</f>
        <v>-0.12562976243836846</v>
      </c>
    </row>
    <row r="9" spans="1:5" x14ac:dyDescent="0.25">
      <c r="A9" s="20" t="s">
        <v>133</v>
      </c>
      <c r="B9" s="21" t="s">
        <v>131</v>
      </c>
      <c r="C9" s="21" t="s">
        <v>131</v>
      </c>
      <c r="D9" s="22">
        <f>Financials!D15/Financials!D5</f>
        <v>-1.1544318895834887E-2</v>
      </c>
      <c r="E9" s="22">
        <f>Financials!E15/Financials!E5</f>
        <v>-7.7633348274316449E-2</v>
      </c>
    </row>
    <row r="10" spans="1:5" x14ac:dyDescent="0.25">
      <c r="A10" s="20" t="s">
        <v>45</v>
      </c>
      <c r="B10" s="22">
        <f>Financials!B7/Financials!B5</f>
        <v>0.8400034876623943</v>
      </c>
      <c r="C10" s="22">
        <f>Financials!C7/Financials!C5</f>
        <v>0.77829575448779398</v>
      </c>
      <c r="D10" s="22">
        <f>Financials!D7/Financials!D5</f>
        <v>0.78296893470643991</v>
      </c>
      <c r="E10" s="22">
        <f>Financials!E7/Financials!E5</f>
        <v>0.79408337068579116</v>
      </c>
    </row>
    <row r="11" spans="1:5" x14ac:dyDescent="0.25">
      <c r="A11" s="20" t="s">
        <v>46</v>
      </c>
      <c r="B11" s="22">
        <f>Financials!B8/Financials!B5</f>
        <v>0.16182753509460285</v>
      </c>
      <c r="C11" s="22">
        <f>Financials!C8/Financials!C5</f>
        <v>6.0327507189662635E-2</v>
      </c>
      <c r="D11" s="22">
        <f>Financials!D8/Financials!D5</f>
        <v>6.8531081268171118E-2</v>
      </c>
      <c r="E11" s="22">
        <f>Financials!E8/Financials!E5</f>
        <v>0.10865082922456297</v>
      </c>
    </row>
    <row r="12" spans="1:5" x14ac:dyDescent="0.25">
      <c r="A12" s="20" t="s">
        <v>47</v>
      </c>
      <c r="B12" s="21" t="s">
        <v>131</v>
      </c>
      <c r="C12" s="22">
        <f>Financials!C9/Financials!C5</f>
        <v>9.9499678270804068E-2</v>
      </c>
      <c r="D12" s="22">
        <f>Financials!D9/Financials!D5</f>
        <v>9.0320450697025531E-2</v>
      </c>
      <c r="E12" s="21" t="s">
        <v>131</v>
      </c>
    </row>
    <row r="13" spans="1:5" x14ac:dyDescent="0.25">
      <c r="A13" s="20" t="s">
        <v>48</v>
      </c>
      <c r="B13" s="22">
        <f>Financials!B16/Financials!B5</f>
        <v>-0.4073589676519313</v>
      </c>
      <c r="C13" s="22">
        <f>Financials!C16/Financials!C5</f>
        <v>3.9920683904347935E-2</v>
      </c>
      <c r="D13" s="22">
        <f>Financials!D16/Financials!D5</f>
        <v>3.7380589782638793E-2</v>
      </c>
      <c r="E13" s="21" t="s">
        <v>131</v>
      </c>
    </row>
    <row r="14" spans="1:5" x14ac:dyDescent="0.25">
      <c r="A14" s="20" t="s">
        <v>49</v>
      </c>
      <c r="B14" s="21" t="s">
        <v>131</v>
      </c>
      <c r="C14" s="21" t="s">
        <v>131</v>
      </c>
      <c r="D14" s="23">
        <f>Financials!D5/Financials!E28</f>
        <v>4.5100384245917384</v>
      </c>
      <c r="E14" s="21" t="s">
        <v>131</v>
      </c>
    </row>
    <row r="15" spans="1:5" x14ac:dyDescent="0.25">
      <c r="A15" s="20" t="s">
        <v>50</v>
      </c>
      <c r="B15" s="21" t="s">
        <v>131</v>
      </c>
      <c r="C15" s="21" t="s">
        <v>131</v>
      </c>
      <c r="D15" s="23">
        <v>8.09</v>
      </c>
      <c r="E15" s="21" t="s">
        <v>131</v>
      </c>
    </row>
    <row r="17" spans="1:2" x14ac:dyDescent="0.25">
      <c r="A17" s="24" t="s">
        <v>51</v>
      </c>
    </row>
    <row r="18" spans="1:2" x14ac:dyDescent="0.25">
      <c r="A18" s="20" t="s">
        <v>52</v>
      </c>
      <c r="B18" s="25">
        <v>50096</v>
      </c>
    </row>
    <row r="19" spans="1:2" x14ac:dyDescent="0.25">
      <c r="A19" s="20" t="s">
        <v>53</v>
      </c>
      <c r="B19" s="26">
        <f>B18/Financials!D5</f>
        <v>5.3350940904588979</v>
      </c>
    </row>
    <row r="20" spans="1:2" x14ac:dyDescent="0.25">
      <c r="A20" s="20" t="s">
        <v>54</v>
      </c>
      <c r="B20" s="25">
        <f>B18/Financials!D20</f>
        <v>2519.9195171026158</v>
      </c>
    </row>
    <row r="21" spans="1:2" x14ac:dyDescent="0.25">
      <c r="A21" s="20" t="s">
        <v>55</v>
      </c>
      <c r="B21" s="26">
        <v>0</v>
      </c>
    </row>
    <row r="23" spans="1:2" x14ac:dyDescent="0.25">
      <c r="A23" s="27" t="s">
        <v>134</v>
      </c>
    </row>
    <row r="24" spans="1:2" x14ac:dyDescent="0.25">
      <c r="A24" s="27" t="s">
        <v>56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zoomScaleNormal="100" workbookViewId="0">
      <selection sqref="A1:L1"/>
    </sheetView>
  </sheetViews>
  <sheetFormatPr defaultColWidth="8.6640625" defaultRowHeight="13.8" x14ac:dyDescent="0.25"/>
  <cols>
    <col min="1" max="1" width="30" style="28" customWidth="1"/>
    <col min="2" max="12" width="11" style="28" customWidth="1"/>
    <col min="13" max="16384" width="8.6640625" style="28"/>
  </cols>
  <sheetData>
    <row r="1" spans="1:17" ht="18.600000000000001" x14ac:dyDescent="0.3">
      <c r="A1" s="60" t="s">
        <v>57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7" x14ac:dyDescent="0.25">
      <c r="A2" s="29" t="s">
        <v>58</v>
      </c>
    </row>
    <row r="4" spans="1:17" x14ac:dyDescent="0.25">
      <c r="A4" s="9" t="s">
        <v>59</v>
      </c>
      <c r="B4" s="38">
        <v>9389.9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9" t="s">
        <v>60</v>
      </c>
      <c r="B5" s="39">
        <v>0.13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9" t="s">
        <v>61</v>
      </c>
      <c r="B6" s="39">
        <v>0.05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9" t="s">
        <v>62</v>
      </c>
      <c r="B7" s="40">
        <v>2500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9" t="s">
        <v>63</v>
      </c>
      <c r="B8" s="38">
        <v>451.31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5" t="s">
        <v>64</v>
      </c>
      <c r="B11" s="2"/>
      <c r="C11" s="34" t="s">
        <v>65</v>
      </c>
      <c r="D11" s="34" t="s">
        <v>66</v>
      </c>
      <c r="E11" s="34" t="s">
        <v>67</v>
      </c>
      <c r="F11" s="34" t="s">
        <v>68</v>
      </c>
      <c r="G11" s="34" t="s">
        <v>69</v>
      </c>
      <c r="H11" s="34" t="s">
        <v>70</v>
      </c>
      <c r="I11" s="34" t="s">
        <v>71</v>
      </c>
      <c r="J11" s="34" t="s">
        <v>72</v>
      </c>
      <c r="K11" s="34" t="s">
        <v>73</v>
      </c>
      <c r="L11" s="34" t="s">
        <v>74</v>
      </c>
      <c r="M11" s="2"/>
      <c r="N11" s="2"/>
      <c r="O11" s="2"/>
      <c r="P11" s="2"/>
      <c r="Q11" s="2"/>
    </row>
    <row r="12" spans="1:17" x14ac:dyDescent="0.25">
      <c r="A12" s="4" t="s">
        <v>75</v>
      </c>
      <c r="B12" s="2"/>
      <c r="C12" s="35">
        <v>1</v>
      </c>
      <c r="D12" s="35">
        <v>2</v>
      </c>
      <c r="E12" s="35">
        <v>3</v>
      </c>
      <c r="F12" s="35">
        <v>4</v>
      </c>
      <c r="G12" s="35">
        <v>5</v>
      </c>
      <c r="H12" s="35">
        <v>6</v>
      </c>
      <c r="I12" s="35">
        <v>7</v>
      </c>
      <c r="J12" s="35">
        <v>8</v>
      </c>
      <c r="K12" s="35">
        <v>9</v>
      </c>
      <c r="L12" s="35">
        <v>10</v>
      </c>
      <c r="M12" s="2"/>
      <c r="N12" s="2"/>
      <c r="O12" s="2"/>
      <c r="P12" s="2"/>
      <c r="Q12" s="2"/>
    </row>
    <row r="13" spans="1:17" x14ac:dyDescent="0.25">
      <c r="A13" s="5" t="s">
        <v>76</v>
      </c>
      <c r="B13" s="2"/>
      <c r="C13" s="41">
        <v>0.3</v>
      </c>
      <c r="D13" s="41">
        <v>0.28000000000000003</v>
      </c>
      <c r="E13" s="41">
        <v>0.25</v>
      </c>
      <c r="F13" s="41">
        <v>0.22</v>
      </c>
      <c r="G13" s="41">
        <v>0.2</v>
      </c>
      <c r="H13" s="41">
        <v>0.18</v>
      </c>
      <c r="I13" s="41">
        <v>0.16</v>
      </c>
      <c r="J13" s="41">
        <v>0.14000000000000001</v>
      </c>
      <c r="K13" s="41">
        <v>0.12</v>
      </c>
      <c r="L13" s="41">
        <v>0.1</v>
      </c>
      <c r="M13" s="2"/>
      <c r="N13" s="2"/>
      <c r="O13" s="2"/>
      <c r="P13" s="2"/>
      <c r="Q13" s="2"/>
    </row>
    <row r="14" spans="1:17" x14ac:dyDescent="0.25">
      <c r="A14" s="5" t="s">
        <v>77</v>
      </c>
      <c r="B14" s="2"/>
      <c r="C14" s="36">
        <f>$B$4*(1+C13)</f>
        <v>12206.87</v>
      </c>
      <c r="D14" s="36">
        <f t="shared" ref="D14:L14" si="0">C14*(1+D13)</f>
        <v>15624.793600000001</v>
      </c>
      <c r="E14" s="36">
        <f t="shared" si="0"/>
        <v>19530.992000000002</v>
      </c>
      <c r="F14" s="36">
        <f t="shared" si="0"/>
        <v>23827.810240000003</v>
      </c>
      <c r="G14" s="36">
        <f t="shared" si="0"/>
        <v>28593.372288000002</v>
      </c>
      <c r="H14" s="36">
        <f t="shared" si="0"/>
        <v>33740.179299839998</v>
      </c>
      <c r="I14" s="36">
        <f t="shared" si="0"/>
        <v>39138.607987814394</v>
      </c>
      <c r="J14" s="36">
        <f t="shared" si="0"/>
        <v>44618.01310610841</v>
      </c>
      <c r="K14" s="36">
        <f t="shared" si="0"/>
        <v>49972.174678841424</v>
      </c>
      <c r="L14" s="36">
        <f t="shared" si="0"/>
        <v>54969.392146725571</v>
      </c>
      <c r="M14" s="2"/>
      <c r="N14" s="2"/>
      <c r="O14" s="2"/>
      <c r="P14" s="2"/>
      <c r="Q14" s="2"/>
    </row>
    <row r="15" spans="1:17" x14ac:dyDescent="0.25">
      <c r="A15" s="5" t="s">
        <v>48</v>
      </c>
      <c r="B15" s="2"/>
      <c r="C15" s="41">
        <v>0.02</v>
      </c>
      <c r="D15" s="41">
        <v>0.04</v>
      </c>
      <c r="E15" s="41">
        <v>0.06</v>
      </c>
      <c r="F15" s="41">
        <v>0.08</v>
      </c>
      <c r="G15" s="41">
        <v>0.1</v>
      </c>
      <c r="H15" s="41">
        <v>0.12</v>
      </c>
      <c r="I15" s="41">
        <v>0.14000000000000001</v>
      </c>
      <c r="J15" s="41">
        <v>0.16</v>
      </c>
      <c r="K15" s="41">
        <v>0.18</v>
      </c>
      <c r="L15" s="41">
        <v>0.2</v>
      </c>
      <c r="M15" s="2"/>
      <c r="N15" s="2"/>
      <c r="O15" s="2"/>
      <c r="P15" s="2"/>
      <c r="Q15" s="2"/>
    </row>
    <row r="16" spans="1:17" x14ac:dyDescent="0.25">
      <c r="A16" s="5" t="s">
        <v>78</v>
      </c>
      <c r="B16" s="2"/>
      <c r="C16" s="36">
        <f t="shared" ref="C16:L16" si="1">C14*C15</f>
        <v>244.13740000000001</v>
      </c>
      <c r="D16" s="36">
        <f t="shared" si="1"/>
        <v>624.99174400000004</v>
      </c>
      <c r="E16" s="36">
        <f t="shared" si="1"/>
        <v>1171.85952</v>
      </c>
      <c r="F16" s="36">
        <f t="shared" si="1"/>
        <v>1906.2248192000002</v>
      </c>
      <c r="G16" s="36">
        <f t="shared" si="1"/>
        <v>2859.3372288000005</v>
      </c>
      <c r="H16" s="36">
        <f t="shared" si="1"/>
        <v>4048.8215159807996</v>
      </c>
      <c r="I16" s="36">
        <f t="shared" si="1"/>
        <v>5479.4051182940157</v>
      </c>
      <c r="J16" s="36">
        <f t="shared" si="1"/>
        <v>7138.882096977346</v>
      </c>
      <c r="K16" s="36">
        <f t="shared" si="1"/>
        <v>8994.9914421914564</v>
      </c>
      <c r="L16" s="36">
        <f t="shared" si="1"/>
        <v>10993.878429345115</v>
      </c>
      <c r="M16" s="2"/>
      <c r="N16" s="2"/>
      <c r="O16" s="2"/>
      <c r="P16" s="2"/>
      <c r="Q16" s="2"/>
    </row>
    <row r="17" spans="1:17" x14ac:dyDescent="0.25">
      <c r="A17" s="4" t="s">
        <v>79</v>
      </c>
      <c r="B17" s="2"/>
      <c r="C17" s="37">
        <f t="shared" ref="C17:L17" si="2">1/(1+$B$5)^C12</f>
        <v>0.88495575221238942</v>
      </c>
      <c r="D17" s="37">
        <f t="shared" si="2"/>
        <v>0.78314668337379612</v>
      </c>
      <c r="E17" s="37">
        <f t="shared" si="2"/>
        <v>0.69305016227769578</v>
      </c>
      <c r="F17" s="37">
        <f t="shared" si="2"/>
        <v>0.61331872767937679</v>
      </c>
      <c r="G17" s="37">
        <f t="shared" si="2"/>
        <v>0.54275993599944861</v>
      </c>
      <c r="H17" s="37">
        <f t="shared" si="2"/>
        <v>0.48031852743314046</v>
      </c>
      <c r="I17" s="37">
        <f t="shared" si="2"/>
        <v>0.425060643746142</v>
      </c>
      <c r="J17" s="37">
        <f t="shared" si="2"/>
        <v>0.37615986172224958</v>
      </c>
      <c r="K17" s="37">
        <f t="shared" si="2"/>
        <v>0.33288483338252178</v>
      </c>
      <c r="L17" s="37">
        <f t="shared" si="2"/>
        <v>0.2945883481261255</v>
      </c>
      <c r="M17" s="2"/>
      <c r="N17" s="2"/>
      <c r="O17" s="2"/>
      <c r="P17" s="2"/>
      <c r="Q17" s="2"/>
    </row>
    <row r="18" spans="1:17" x14ac:dyDescent="0.25">
      <c r="A18" s="5" t="s">
        <v>80</v>
      </c>
      <c r="B18" s="2"/>
      <c r="C18" s="36">
        <f t="shared" ref="C18:L18" si="3">C16*C17</f>
        <v>216.05079646017703</v>
      </c>
      <c r="D18" s="36">
        <f t="shared" si="3"/>
        <v>489.46021144960469</v>
      </c>
      <c r="E18" s="36">
        <f t="shared" si="3"/>
        <v>812.15743050266269</v>
      </c>
      <c r="F18" s="36">
        <f t="shared" si="3"/>
        <v>1169.1233807825943</v>
      </c>
      <c r="G18" s="36">
        <f t="shared" si="3"/>
        <v>1551.9336913043289</v>
      </c>
      <c r="H18" s="36">
        <f t="shared" si="3"/>
        <v>1944.7239883955131</v>
      </c>
      <c r="I18" s="36">
        <f t="shared" si="3"/>
        <v>2329.0794669279599</v>
      </c>
      <c r="J18" s="36">
        <f t="shared" si="3"/>
        <v>2685.3609024504417</v>
      </c>
      <c r="K18" s="36">
        <f t="shared" si="3"/>
        <v>2994.2962275111122</v>
      </c>
      <c r="L18" s="36">
        <f t="shared" si="3"/>
        <v>3238.6684860002206</v>
      </c>
      <c r="M18" s="2"/>
      <c r="N18" s="2"/>
      <c r="O18" s="2"/>
      <c r="P18" s="2"/>
      <c r="Q18" s="2"/>
    </row>
    <row r="20" spans="1:17" x14ac:dyDescent="0.25">
      <c r="A20" s="30" t="s">
        <v>81</v>
      </c>
      <c r="C20" s="31">
        <f>SUM(C18:L18)</f>
        <v>17430.854581784617</v>
      </c>
    </row>
    <row r="21" spans="1:17" x14ac:dyDescent="0.25">
      <c r="A21" s="30" t="s">
        <v>82</v>
      </c>
      <c r="C21" s="31">
        <f>L16*(1+$B$6)/($B$5-$B$6)</f>
        <v>144294.65438515466</v>
      </c>
    </row>
    <row r="22" spans="1:17" x14ac:dyDescent="0.25">
      <c r="A22" s="30" t="s">
        <v>83</v>
      </c>
      <c r="C22" s="31">
        <f>C21/(1+$B$5)^L12</f>
        <v>42507.523878752902</v>
      </c>
    </row>
    <row r="23" spans="1:17" x14ac:dyDescent="0.25">
      <c r="A23" s="30" t="s">
        <v>84</v>
      </c>
      <c r="C23" s="31">
        <f>C20+C22</f>
        <v>59938.378460537519</v>
      </c>
    </row>
    <row r="24" spans="1:17" x14ac:dyDescent="0.25">
      <c r="A24" s="30" t="s">
        <v>85</v>
      </c>
      <c r="C24" s="31">
        <f>$B$7</f>
        <v>2500</v>
      </c>
    </row>
    <row r="25" spans="1:17" x14ac:dyDescent="0.25">
      <c r="A25" s="30" t="s">
        <v>86</v>
      </c>
      <c r="C25" s="31">
        <f>C23+C24</f>
        <v>62438.378460537519</v>
      </c>
    </row>
    <row r="26" spans="1:17" x14ac:dyDescent="0.25">
      <c r="A26" s="30" t="s">
        <v>87</v>
      </c>
      <c r="C26" s="33">
        <f>C25/$B$8</f>
        <v>138.34920223468905</v>
      </c>
    </row>
    <row r="28" spans="1:17" x14ac:dyDescent="0.25">
      <c r="A28" s="32" t="s">
        <v>88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Normal="100" workbookViewId="0">
      <selection sqref="A1:F1"/>
    </sheetView>
  </sheetViews>
  <sheetFormatPr defaultColWidth="8.6640625" defaultRowHeight="13.8" x14ac:dyDescent="0.25"/>
  <cols>
    <col min="1" max="1" width="18" style="28" customWidth="1"/>
    <col min="2" max="6" width="12" style="28" customWidth="1"/>
    <col min="7" max="16384" width="8.6640625" style="28"/>
  </cols>
  <sheetData>
    <row r="1" spans="1:6" ht="18.600000000000001" x14ac:dyDescent="0.3">
      <c r="A1" s="60" t="s">
        <v>135</v>
      </c>
      <c r="B1" s="60"/>
      <c r="C1" s="60"/>
      <c r="D1" s="60"/>
      <c r="E1" s="60"/>
      <c r="F1" s="60"/>
    </row>
    <row r="2" spans="1:6" x14ac:dyDescent="0.25">
      <c r="A2" s="29" t="s">
        <v>89</v>
      </c>
    </row>
    <row r="4" spans="1:6" x14ac:dyDescent="0.25">
      <c r="A4" s="42" t="s">
        <v>90</v>
      </c>
      <c r="B4" s="43">
        <v>0.03</v>
      </c>
      <c r="C4" s="43">
        <v>0.04</v>
      </c>
      <c r="D4" s="43">
        <v>0.05</v>
      </c>
      <c r="E4" s="43">
        <v>5.5E-2</v>
      </c>
      <c r="F4" s="43">
        <v>0.06</v>
      </c>
    </row>
    <row r="5" spans="1:6" x14ac:dyDescent="0.25">
      <c r="A5" s="43">
        <v>0.12</v>
      </c>
      <c r="B5" s="44">
        <f>(SUMPRODUCT(DCF!$C$16:$L$16,1/(1+$A5)^DCF!$C$12:$L$12)+(DCF!$L$16*(1+B$4)/($A5-B$4))/(1+$A5)^10+DCF!$B$7)/DCF!$B$8</f>
        <v>136.47179144716964</v>
      </c>
      <c r="C5" s="44">
        <f>(SUMPRODUCT(DCF!$C$16:$L$16,1/(1+$A5)^DCF!$C$12:$L$12)+(DCF!$L$16*(1+C$4)/($A5-C$4))/(1+$A5)^10+DCF!$B$7)/DCF!$B$8</f>
        <v>148.67239381413899</v>
      </c>
      <c r="D5" s="44">
        <f>(SUMPRODUCT(DCF!$C$16:$L$16,1/(1+$A5)^DCF!$C$12:$L$12)+(DCF!$L$16*(1+D$4)/($A5-D$4))/(1+$A5)^10+DCF!$B$7)/DCF!$B$8</f>
        <v>164.35888257167099</v>
      </c>
      <c r="E5" s="44">
        <f>(SUMPRODUCT(DCF!$C$16:$L$16,1/(1+$A5)^DCF!$C$12:$L$12)+(DCF!$L$16*(1+E$4)/($A5-E$4))/(1+$A5)^10+DCF!$B$7)/DCF!$B$8</f>
        <v>174.01210642245988</v>
      </c>
      <c r="F5" s="44">
        <f>(SUMPRODUCT(DCF!$C$16:$L$16,1/(1+$A5)^DCF!$C$12:$L$12)+(DCF!$L$16*(1+F$4)/($A5-F$4))/(1+$A5)^10+DCF!$B$7)/DCF!$B$8</f>
        <v>185.27420091504695</v>
      </c>
    </row>
    <row r="6" spans="1:6" x14ac:dyDescent="0.25">
      <c r="A6" s="43">
        <v>0.13</v>
      </c>
      <c r="B6" s="44">
        <f>(SUMPRODUCT(DCF!$C$16:$L$16,1/(1+$A6)^DCF!$C$12:$L$12)+(DCF!$L$16*(1+B$4)/($A6-B$4))/(1+$A6)^10+DCF!$B$7)/DCF!$B$8</f>
        <v>118.07657704811969</v>
      </c>
      <c r="C6" s="44">
        <f>(SUMPRODUCT(DCF!$C$16:$L$16,1/(1+$A6)^DCF!$C$12:$L$12)+(DCF!$L$16*(1+C$4)/($A6-C$4))/(1+$A6)^10+DCF!$B$7)/DCF!$B$8</f>
        <v>127.08663268659497</v>
      </c>
      <c r="D6" s="45">
        <f>(SUMPRODUCT(DCF!$C$16:$L$16,1/(1+$A6)^DCF!$C$12:$L$12)+(DCF!$L$16*(1+D$4)/($A6-D$4))/(1+$A6)^10+DCF!$B$7)/DCF!$B$8</f>
        <v>138.34920223468905</v>
      </c>
      <c r="E6" s="44">
        <f>(SUMPRODUCT(DCF!$C$16:$L$16,1/(1+$A6)^DCF!$C$12:$L$12)+(DCF!$L$16*(1+E$4)/($A6-E$4))/(1+$A6)^10+DCF!$B$7)/DCF!$B$8</f>
        <v>145.10674396354548</v>
      </c>
      <c r="F6" s="44">
        <f>(SUMPRODUCT(DCF!$C$16:$L$16,1/(1+$A6)^DCF!$C$12:$L$12)+(DCF!$L$16*(1+F$4)/($A6-F$4))/(1+$A6)^10+DCF!$B$7)/DCF!$B$8</f>
        <v>152.82964879652428</v>
      </c>
    </row>
    <row r="7" spans="1:6" x14ac:dyDescent="0.25">
      <c r="A7" s="43">
        <v>0.14000000000000001</v>
      </c>
      <c r="B7" s="44">
        <f>(SUMPRODUCT(DCF!$C$16:$L$16,1/(1+$A7)^DCF!$C$12:$L$12)+(DCF!$L$16*(1+B$4)/($A7-B$4))/(1+$A7)^10+DCF!$B$7)/DCF!$B$8</f>
        <v>103.33562804617536</v>
      </c>
      <c r="C7" s="44">
        <f>(SUMPRODUCT(DCF!$C$16:$L$16,1/(1+$A7)^DCF!$C$12:$L$12)+(DCF!$L$16*(1+C$4)/($A7-C$4))/(1+$A7)^10+DCF!$B$7)/DCF!$B$8</f>
        <v>110.14551067022913</v>
      </c>
      <c r="D7" s="44">
        <f>(SUMPRODUCT(DCF!$C$16:$L$16,1/(1+$A7)^DCF!$C$12:$L$12)+(DCF!$L$16*(1+D$4)/($A7-D$4))/(1+$A7)^10+DCF!$B$7)/DCF!$B$8</f>
        <v>118.46870054407265</v>
      </c>
      <c r="E7" s="44">
        <f>(SUMPRODUCT(DCF!$C$16:$L$16,1/(1+$A7)^DCF!$C$12:$L$12)+(DCF!$L$16*(1+E$4)/($A7-E$4))/(1+$A7)^10+DCF!$B$7)/DCF!$B$8</f>
        <v>123.36469458750999</v>
      </c>
      <c r="F7" s="44">
        <f>(SUMPRODUCT(DCF!$C$16:$L$16,1/(1+$A7)^DCF!$C$12:$L$12)+(DCF!$L$16*(1+F$4)/($A7-F$4))/(1+$A7)^10+DCF!$B$7)/DCF!$B$8</f>
        <v>128.87268788637701</v>
      </c>
    </row>
    <row r="8" spans="1:6" x14ac:dyDescent="0.25">
      <c r="A8" s="43">
        <v>0.15</v>
      </c>
      <c r="B8" s="44">
        <f>(SUMPRODUCT(DCF!$C$16:$L$16,1/(1+$A8)^DCF!$C$12:$L$12)+(DCF!$L$16*(1+B$4)/($A8-B$4))/(1+$A8)^10+DCF!$B$7)/DCF!$B$8</f>
        <v>91.31361201170273</v>
      </c>
      <c r="C8" s="44">
        <f>(SUMPRODUCT(DCF!$C$16:$L$16,1/(1+$A8)^DCF!$C$12:$L$12)+(DCF!$L$16*(1+C$4)/($A8-C$4))/(1+$A8)^10+DCF!$B$7)/DCF!$B$8</f>
        <v>96.559529787769065</v>
      </c>
      <c r="D8" s="44">
        <f>(SUMPRODUCT(DCF!$C$16:$L$16,1/(1+$A8)^DCF!$C$12:$L$12)+(DCF!$L$16*(1+D$4)/($A8-D$4))/(1+$A8)^10+DCF!$B$7)/DCF!$B$8</f>
        <v>102.85463111904866</v>
      </c>
      <c r="E8" s="44">
        <f>(SUMPRODUCT(DCF!$C$16:$L$16,1/(1+$A8)^DCF!$C$12:$L$12)+(DCF!$L$16*(1+E$4)/($A8-E$4))/(1+$A8)^10+DCF!$B$7)/DCF!$B$8</f>
        <v>106.49916346873682</v>
      </c>
      <c r="F8" s="44">
        <f>(SUMPRODUCT(DCF!$C$16:$L$16,1/(1+$A8)^DCF!$C$12:$L$12)+(DCF!$L$16*(1+F$4)/($A8-F$4))/(1+$A8)^10+DCF!$B$7)/DCF!$B$8</f>
        <v>110.54864385727925</v>
      </c>
    </row>
    <row r="9" spans="1:6" x14ac:dyDescent="0.25">
      <c r="A9" s="43">
        <v>0.16</v>
      </c>
      <c r="B9" s="44">
        <f>(SUMPRODUCT(DCF!$C$16:$L$16,1/(1+$A9)^DCF!$C$12:$L$12)+(DCF!$L$16*(1+B$4)/($A9-B$4))/(1+$A9)^10+DCF!$B$7)/DCF!$B$8</f>
        <v>81.364742873198011</v>
      </c>
      <c r="C9" s="44">
        <f>(SUMPRODUCT(DCF!$C$16:$L$16,1/(1+$A9)^DCF!$C$12:$L$12)+(DCF!$L$16*(1+C$4)/($A9-C$4))/(1+$A9)^10+DCF!$B$7)/DCF!$B$8</f>
        <v>85.470842402737446</v>
      </c>
      <c r="D9" s="44">
        <f>(SUMPRODUCT(DCF!$C$16:$L$16,1/(1+$A9)^DCF!$C$12:$L$12)+(DCF!$L$16*(1+D$4)/($A9-D$4))/(1+$A9)^10+DCF!$B$7)/DCF!$B$8</f>
        <v>90.323505483102238</v>
      </c>
      <c r="E9" s="44">
        <f>(SUMPRODUCT(DCF!$C$16:$L$16,1/(1+$A9)^DCF!$C$12:$L$12)+(DCF!$L$16*(1+E$4)/($A9-E$4))/(1+$A9)^10+DCF!$B$7)/DCF!$B$8</f>
        <v>93.096455814739258</v>
      </c>
      <c r="F9" s="44">
        <f>(SUMPRODUCT(DCF!$C$16:$L$16,1/(1+$A9)^DCF!$C$12:$L$12)+(DCF!$L$16*(1+F$4)/($A9-F$4))/(1+$A9)^10+DCF!$B$7)/DCF!$B$8</f>
        <v>96.146701179539988</v>
      </c>
    </row>
    <row r="11" spans="1:6" x14ac:dyDescent="0.25">
      <c r="A11" s="32" t="s">
        <v>91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tabSelected="1" zoomScaleNormal="100" workbookViewId="0">
      <selection sqref="A1:H1"/>
    </sheetView>
  </sheetViews>
  <sheetFormatPr defaultColWidth="8.6640625" defaultRowHeight="13.8" x14ac:dyDescent="0.25"/>
  <cols>
    <col min="1" max="1" width="22" style="2" customWidth="1"/>
    <col min="2" max="2" width="18" style="2" customWidth="1"/>
    <col min="3" max="3" width="13" style="2" customWidth="1"/>
    <col min="4" max="4" width="12" style="2" customWidth="1"/>
    <col min="5" max="5" width="13" style="2" customWidth="1"/>
    <col min="6" max="6" width="11" style="2" customWidth="1"/>
    <col min="7" max="7" width="13" style="2" customWidth="1"/>
    <col min="8" max="8" width="10" style="2" customWidth="1"/>
    <col min="9" max="16384" width="8.6640625" style="2"/>
  </cols>
  <sheetData>
    <row r="1" spans="1:8" ht="18.600000000000001" x14ac:dyDescent="0.3">
      <c r="A1" s="59" t="s">
        <v>92</v>
      </c>
      <c r="B1" s="59"/>
      <c r="C1" s="59"/>
      <c r="D1" s="59"/>
      <c r="E1" s="59"/>
      <c r="F1" s="59"/>
      <c r="G1" s="59"/>
      <c r="H1" s="59"/>
    </row>
    <row r="2" spans="1:8" x14ac:dyDescent="0.25">
      <c r="A2" s="6" t="s">
        <v>93</v>
      </c>
    </row>
    <row r="4" spans="1:8" s="18" customFormat="1" x14ac:dyDescent="0.25">
      <c r="A4" s="17" t="s">
        <v>94</v>
      </c>
      <c r="B4" s="17" t="s">
        <v>95</v>
      </c>
      <c r="C4" s="17" t="s">
        <v>96</v>
      </c>
      <c r="D4" s="17" t="s">
        <v>97</v>
      </c>
      <c r="E4" s="17" t="s">
        <v>98</v>
      </c>
      <c r="F4" s="17" t="s">
        <v>99</v>
      </c>
      <c r="G4" s="17" t="s">
        <v>100</v>
      </c>
      <c r="H4" s="17" t="s">
        <v>101</v>
      </c>
    </row>
    <row r="5" spans="1:8" s="18" customFormat="1" x14ac:dyDescent="0.25">
      <c r="A5" s="54" t="s">
        <v>102</v>
      </c>
      <c r="B5" s="55" t="s">
        <v>103</v>
      </c>
      <c r="C5" s="56">
        <v>9389.9</v>
      </c>
      <c r="D5" s="55" t="s">
        <v>14</v>
      </c>
      <c r="E5" s="57" t="s">
        <v>104</v>
      </c>
      <c r="F5" s="55" t="s">
        <v>105</v>
      </c>
      <c r="G5" s="56">
        <v>50096</v>
      </c>
      <c r="H5" s="58">
        <f t="shared" ref="H5:H10" si="0">G5/C5</f>
        <v>5.3350940904588979</v>
      </c>
    </row>
    <row r="6" spans="1:8" x14ac:dyDescent="0.25">
      <c r="A6" s="46" t="s">
        <v>106</v>
      </c>
      <c r="B6" s="47" t="s">
        <v>107</v>
      </c>
      <c r="C6" s="16">
        <v>20000</v>
      </c>
      <c r="D6" s="47" t="s">
        <v>65</v>
      </c>
      <c r="E6" s="14" t="s">
        <v>108</v>
      </c>
      <c r="F6" s="47" t="s">
        <v>109</v>
      </c>
      <c r="G6" s="16">
        <v>240000</v>
      </c>
      <c r="H6" s="48">
        <f t="shared" si="0"/>
        <v>12</v>
      </c>
    </row>
    <row r="7" spans="1:8" x14ac:dyDescent="0.25">
      <c r="A7" s="49" t="s">
        <v>110</v>
      </c>
      <c r="B7" s="50" t="s">
        <v>107</v>
      </c>
      <c r="C7" s="51">
        <v>15227</v>
      </c>
      <c r="D7" s="50" t="s">
        <v>14</v>
      </c>
      <c r="E7" s="52" t="s">
        <v>111</v>
      </c>
      <c r="F7" s="50" t="s">
        <v>112</v>
      </c>
      <c r="G7" s="51">
        <v>58000</v>
      </c>
      <c r="H7" s="53">
        <f t="shared" si="0"/>
        <v>3.8090234451960332</v>
      </c>
    </row>
    <row r="8" spans="1:8" x14ac:dyDescent="0.25">
      <c r="A8" s="46" t="s">
        <v>113</v>
      </c>
      <c r="B8" s="47" t="s">
        <v>114</v>
      </c>
      <c r="C8" s="16">
        <v>10022</v>
      </c>
      <c r="D8" s="47" t="s">
        <v>115</v>
      </c>
      <c r="E8" s="14" t="s">
        <v>116</v>
      </c>
      <c r="F8" s="47" t="s">
        <v>109</v>
      </c>
      <c r="G8" s="16">
        <v>88500</v>
      </c>
      <c r="H8" s="48">
        <f t="shared" si="0"/>
        <v>8.8305727399720606</v>
      </c>
    </row>
    <row r="9" spans="1:8" x14ac:dyDescent="0.25">
      <c r="A9" s="49" t="s">
        <v>117</v>
      </c>
      <c r="B9" s="50" t="s">
        <v>118</v>
      </c>
      <c r="C9" s="51">
        <v>7660</v>
      </c>
      <c r="D9" s="50" t="s">
        <v>14</v>
      </c>
      <c r="E9" s="52" t="s">
        <v>119</v>
      </c>
      <c r="F9" s="50" t="s">
        <v>120</v>
      </c>
      <c r="G9" s="51">
        <v>11772</v>
      </c>
      <c r="H9" s="53">
        <f t="shared" si="0"/>
        <v>1.5368146214099216</v>
      </c>
    </row>
    <row r="10" spans="1:8" x14ac:dyDescent="0.25">
      <c r="A10" s="46" t="s">
        <v>121</v>
      </c>
      <c r="B10" s="47" t="s">
        <v>122</v>
      </c>
      <c r="C10" s="16">
        <v>59000</v>
      </c>
      <c r="D10" s="47" t="s">
        <v>14</v>
      </c>
      <c r="E10" s="14" t="s">
        <v>108</v>
      </c>
      <c r="F10" s="47" t="s">
        <v>109</v>
      </c>
      <c r="G10" s="16">
        <v>270000</v>
      </c>
      <c r="H10" s="48">
        <f t="shared" si="0"/>
        <v>4.5762711864406782</v>
      </c>
    </row>
    <row r="12" spans="1:8" x14ac:dyDescent="0.25">
      <c r="A12" s="3" t="s">
        <v>123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Financials</vt:lpstr>
      <vt:lpstr>Ratios</vt:lpstr>
      <vt:lpstr>DCF</vt:lpstr>
      <vt:lpstr>Sensitivity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Mrugaja Churi (27PGMT)</cp:lastModifiedBy>
  <cp:revision>0</cp:revision>
  <dcterms:created xsi:type="dcterms:W3CDTF">2026-07-02T09:06:11Z</dcterms:created>
  <dcterms:modified xsi:type="dcterms:W3CDTF">2026-07-08T20:23:40Z</dcterms:modified>
  <dc:language>en-US</dc:language>
</cp:coreProperties>
</file>